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P Review\"/>
    </mc:Choice>
  </mc:AlternateContent>
  <xr:revisionPtr revIDLastSave="0" documentId="13_ncr:1_{C229C2F1-834C-4580-9025-A140AFA29C8F}" xr6:coauthVersionLast="47" xr6:coauthVersionMax="47" xr10:uidLastSave="{00000000-0000-0000-0000-000000000000}"/>
  <bookViews>
    <workbookView xWindow="-120" yWindow="-120" windowWidth="29040" windowHeight="15720" xr2:uid="{281F799A-FCFB-4F49-B085-F2064FF4CE85}"/>
  </bookViews>
  <sheets>
    <sheet name="Scheme Wise Sheet" sheetId="1" r:id="rId1"/>
  </sheets>
  <definedNames>
    <definedName name="_xlnm.Print_Area" localSheetId="0">'Scheme Wise Sheet'!$A$1:$V$13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" i="1" l="1"/>
  <c r="V12" i="1" s="1"/>
  <c r="U11" i="1"/>
  <c r="V11" i="1" s="1"/>
  <c r="S10" i="1"/>
  <c r="U9" i="1"/>
  <c r="V9" i="1" s="1"/>
  <c r="U8" i="1"/>
  <c r="V8" i="1" s="1"/>
  <c r="S7" i="1"/>
  <c r="U6" i="1"/>
  <c r="V6" i="1" s="1"/>
  <c r="U5" i="1"/>
  <c r="V5" i="1" s="1"/>
  <c r="U4" i="1"/>
  <c r="V4" i="1" s="1"/>
  <c r="S3" i="1"/>
  <c r="Q13" i="1"/>
  <c r="O13" i="1"/>
  <c r="N13" i="1"/>
  <c r="L13" i="1"/>
  <c r="K13" i="1"/>
  <c r="I13" i="1"/>
  <c r="H13" i="1"/>
  <c r="F13" i="1"/>
  <c r="E13" i="1"/>
  <c r="P12" i="1"/>
  <c r="M12" i="1"/>
  <c r="J12" i="1"/>
  <c r="G12" i="1"/>
  <c r="P11" i="1"/>
  <c r="M11" i="1"/>
  <c r="J11" i="1"/>
  <c r="G11" i="1"/>
  <c r="P10" i="1"/>
  <c r="M10" i="1"/>
  <c r="J10" i="1"/>
  <c r="G10" i="1"/>
  <c r="P9" i="1"/>
  <c r="M9" i="1"/>
  <c r="J9" i="1"/>
  <c r="G9" i="1"/>
  <c r="P8" i="1"/>
  <c r="M8" i="1"/>
  <c r="J8" i="1"/>
  <c r="G8" i="1"/>
  <c r="P7" i="1"/>
  <c r="M7" i="1"/>
  <c r="J7" i="1"/>
  <c r="G7" i="1"/>
  <c r="P6" i="1"/>
  <c r="M6" i="1"/>
  <c r="J6" i="1"/>
  <c r="G6" i="1"/>
  <c r="P5" i="1"/>
  <c r="M5" i="1"/>
  <c r="J5" i="1"/>
  <c r="G5" i="1"/>
  <c r="P4" i="1"/>
  <c r="M4" i="1"/>
  <c r="J4" i="1"/>
  <c r="G4" i="1"/>
  <c r="P3" i="1"/>
  <c r="M3" i="1"/>
  <c r="J3" i="1"/>
  <c r="G3" i="1"/>
  <c r="P13" i="1" l="1"/>
  <c r="M13" i="1"/>
  <c r="G13" i="1"/>
  <c r="J13" i="1"/>
  <c r="R13" i="1"/>
  <c r="U3" i="1"/>
  <c r="V3" i="1" s="1"/>
  <c r="S8" i="1"/>
  <c r="S4" i="1"/>
  <c r="U7" i="1"/>
  <c r="V7" i="1" s="1"/>
  <c r="S12" i="1"/>
  <c r="S6" i="1"/>
  <c r="S11" i="1"/>
  <c r="U10" i="1"/>
  <c r="V10" i="1" s="1"/>
  <c r="S5" i="1"/>
  <c r="S9" i="1"/>
  <c r="S13" i="1" l="1"/>
</calcChain>
</file>

<file path=xl/sharedStrings.xml><?xml version="1.0" encoding="utf-8"?>
<sst xmlns="http://schemas.openxmlformats.org/spreadsheetml/2006/main" count="59" uniqueCount="34">
  <si>
    <t>Approved Cost</t>
  </si>
  <si>
    <t>Spending Release</t>
  </si>
  <si>
    <t>%age Utilization against Spending Release</t>
  </si>
  <si>
    <t>Sr. #</t>
  </si>
  <si>
    <t>G.S No.</t>
  </si>
  <si>
    <t>Project Title</t>
  </si>
  <si>
    <t>Category</t>
  </si>
  <si>
    <t>Capital</t>
  </si>
  <si>
    <t>Revenue</t>
  </si>
  <si>
    <t>Total</t>
  </si>
  <si>
    <t>CM Initiative</t>
  </si>
  <si>
    <t>2811</t>
  </si>
  <si>
    <t>Smart Safe Cities - CM Tehsils Project - Bahawalpur Division</t>
  </si>
  <si>
    <t>2812</t>
  </si>
  <si>
    <t>Smart Safe Cities - CM Tehsils Project - DG Khan Division</t>
  </si>
  <si>
    <t>2813</t>
  </si>
  <si>
    <t>Smart Safe Cities - CM Tehsils Project - Multan Division</t>
  </si>
  <si>
    <t>2814</t>
  </si>
  <si>
    <t>Smart Safe Cities - CM Tehsils Project - Sahiwal Division</t>
  </si>
  <si>
    <t>2815</t>
  </si>
  <si>
    <t>Smart Safe Cities - CM Tehsils Project - Lahore Division</t>
  </si>
  <si>
    <t>2816</t>
  </si>
  <si>
    <t>Smart Safe Cities - CM Tehsils Project - Faisalabad Division</t>
  </si>
  <si>
    <t>2817</t>
  </si>
  <si>
    <t>Smart Safe Cities - CM Tehsils Project - Sargodha Division</t>
  </si>
  <si>
    <t>2818</t>
  </si>
  <si>
    <t>Smart Safe Cities - CM Tehsils Project - Gujranwala Division</t>
  </si>
  <si>
    <t>2819</t>
  </si>
  <si>
    <t>Smart Safe Cities - CM Tehsils Project - Gujrat Division</t>
  </si>
  <si>
    <t>2820</t>
  </si>
  <si>
    <t>Smart Safe Cities - CM Tehsils Project - Rawalpindi Division</t>
  </si>
  <si>
    <t>Allocation</t>
  </si>
  <si>
    <t>P&amp;D Release</t>
  </si>
  <si>
    <t>Pifra Utilization 06-03-2026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</si>
</sst>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/>
    </xf>
    <xf numFmtId="10" fontId="3" fillId="0" borderId="4" xfId="1" applyNumberFormat="1" applyFont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164" fontId="2" fillId="0" borderId="4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118F5-654E-4544-A307-1758E7605C44}">
  <sheetPr>
    <pageSetUpPr fitToPage="1"/>
  </sheetPr>
  <dimension ref="A1:V13"/>
  <sheetViews>
    <sheetView tabSelected="1" zoomScaleNormal="100"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V3" sqref="V3"/>
    </sheetView>
  </sheetViews>
  <sheetFormatPr defaultRowHeight="15" x14ac:dyDescent="0.25"/>
  <cols>
    <col min="1" max="1" width="5.140625" customWidth="1"/>
    <col min="3" max="3" width="32.85546875" customWidth="1"/>
    <col min="4" max="4" width="11.42578125" customWidth="1"/>
    <col min="5" max="5" width="12.85546875" bestFit="1" customWidth="1"/>
    <col min="6" max="7" width="14.28515625" bestFit="1" customWidth="1"/>
    <col min="8" max="8" width="12.85546875" bestFit="1" customWidth="1"/>
    <col min="9" max="10" width="14.28515625" bestFit="1" customWidth="1"/>
    <col min="11" max="11" width="12.85546875" bestFit="1" customWidth="1"/>
    <col min="12" max="13" width="14.28515625" bestFit="1" customWidth="1"/>
    <col min="14" max="16" width="12.85546875" bestFit="1" customWidth="1"/>
    <col min="17" max="17" width="11" bestFit="1" customWidth="1"/>
    <col min="18" max="19" width="12.85546875" bestFit="1" customWidth="1"/>
    <col min="20" max="22" width="12.85546875" customWidth="1"/>
    <col min="24" max="27" width="9.5703125" bestFit="1" customWidth="1"/>
  </cols>
  <sheetData>
    <row r="1" spans="1:22" ht="29.25" customHeight="1" x14ac:dyDescent="0.25">
      <c r="A1" s="1"/>
      <c r="B1" s="2"/>
      <c r="C1" s="2"/>
      <c r="D1" s="2"/>
      <c r="E1" s="15" t="s">
        <v>0</v>
      </c>
      <c r="F1" s="15"/>
      <c r="G1" s="15"/>
      <c r="H1" s="15" t="s">
        <v>31</v>
      </c>
      <c r="I1" s="15"/>
      <c r="J1" s="15"/>
      <c r="K1" s="15" t="s">
        <v>32</v>
      </c>
      <c r="L1" s="15"/>
      <c r="M1" s="15"/>
      <c r="N1" s="15" t="s">
        <v>1</v>
      </c>
      <c r="O1" s="15"/>
      <c r="P1" s="15"/>
      <c r="Q1" s="15" t="s">
        <v>33</v>
      </c>
      <c r="R1" s="15"/>
      <c r="S1" s="15"/>
      <c r="T1" s="15" t="s">
        <v>2</v>
      </c>
      <c r="U1" s="15"/>
      <c r="V1" s="15"/>
    </row>
    <row r="2" spans="1:22" ht="31.5" x14ac:dyDescent="0.25">
      <c r="A2" s="3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7</v>
      </c>
      <c r="I2" s="4" t="s">
        <v>8</v>
      </c>
      <c r="J2" s="4" t="s">
        <v>9</v>
      </c>
      <c r="K2" s="4" t="s">
        <v>7</v>
      </c>
      <c r="L2" s="4" t="s">
        <v>8</v>
      </c>
      <c r="M2" s="4" t="s">
        <v>9</v>
      </c>
      <c r="N2" s="4" t="s">
        <v>7</v>
      </c>
      <c r="O2" s="4" t="s">
        <v>8</v>
      </c>
      <c r="P2" s="4" t="s">
        <v>9</v>
      </c>
      <c r="Q2" s="4" t="s">
        <v>7</v>
      </c>
      <c r="R2" s="4" t="s">
        <v>8</v>
      </c>
      <c r="S2" s="4" t="s">
        <v>9</v>
      </c>
      <c r="T2" s="4" t="s">
        <v>7</v>
      </c>
      <c r="U2" s="4" t="s">
        <v>8</v>
      </c>
      <c r="V2" s="4" t="s">
        <v>9</v>
      </c>
    </row>
    <row r="3" spans="1:22" ht="30" x14ac:dyDescent="0.25">
      <c r="A3" s="5">
        <v>1</v>
      </c>
      <c r="B3" s="6" t="s">
        <v>11</v>
      </c>
      <c r="C3" s="7" t="s">
        <v>12</v>
      </c>
      <c r="D3" s="8" t="s">
        <v>10</v>
      </c>
      <c r="E3" s="9">
        <v>0</v>
      </c>
      <c r="F3" s="9">
        <v>1888.51</v>
      </c>
      <c r="G3" s="9">
        <f t="shared" ref="G3:G12" si="0">F3+E3</f>
        <v>1888.51</v>
      </c>
      <c r="H3" s="9">
        <v>0</v>
      </c>
      <c r="I3" s="9">
        <v>643.61500000000001</v>
      </c>
      <c r="J3" s="9">
        <f t="shared" ref="J3:J12" si="1">I3+H3</f>
        <v>643.61500000000001</v>
      </c>
      <c r="K3" s="9">
        <v>0</v>
      </c>
      <c r="L3" s="9">
        <v>643.61500000000001</v>
      </c>
      <c r="M3" s="9">
        <f t="shared" ref="M3:M12" si="2">L3+K3</f>
        <v>643.61500000000001</v>
      </c>
      <c r="N3" s="9">
        <v>0</v>
      </c>
      <c r="O3" s="11">
        <v>160.904</v>
      </c>
      <c r="P3" s="9">
        <f t="shared" ref="P3:P12" si="3">O3+N3</f>
        <v>160.904</v>
      </c>
      <c r="Q3" s="9">
        <v>0</v>
      </c>
      <c r="R3" s="9">
        <v>86.211982000000006</v>
      </c>
      <c r="S3" s="9">
        <f t="shared" ref="S3:S12" si="4">R3+Q3</f>
        <v>86.211982000000006</v>
      </c>
      <c r="T3" s="9"/>
      <c r="U3" s="10">
        <f t="shared" ref="U3:U12" si="5">R3/O3</f>
        <v>0.53579763088549703</v>
      </c>
      <c r="V3" s="9">
        <f t="shared" ref="V3:V12" si="6">U3+T3</f>
        <v>0.53579763088549703</v>
      </c>
    </row>
    <row r="4" spans="1:22" ht="30" x14ac:dyDescent="0.25">
      <c r="A4" s="5">
        <v>2</v>
      </c>
      <c r="B4" s="6" t="s">
        <v>13</v>
      </c>
      <c r="C4" s="7" t="s">
        <v>14</v>
      </c>
      <c r="D4" s="8" t="s">
        <v>10</v>
      </c>
      <c r="E4" s="9">
        <v>0</v>
      </c>
      <c r="F4" s="9">
        <v>1789.3</v>
      </c>
      <c r="G4" s="9">
        <f t="shared" si="0"/>
        <v>1789.3</v>
      </c>
      <c r="H4" s="9">
        <v>0</v>
      </c>
      <c r="I4" s="9">
        <v>688.79</v>
      </c>
      <c r="J4" s="9">
        <f t="shared" si="1"/>
        <v>688.79</v>
      </c>
      <c r="K4" s="9">
        <v>0</v>
      </c>
      <c r="L4" s="9">
        <v>688.79</v>
      </c>
      <c r="M4" s="9">
        <f t="shared" si="2"/>
        <v>688.79</v>
      </c>
      <c r="N4" s="9">
        <v>0</v>
      </c>
      <c r="O4" s="11">
        <v>172.19800000000001</v>
      </c>
      <c r="P4" s="9">
        <f t="shared" si="3"/>
        <v>172.19800000000001</v>
      </c>
      <c r="Q4" s="9">
        <v>0</v>
      </c>
      <c r="R4" s="9">
        <v>86.211982000000006</v>
      </c>
      <c r="S4" s="9">
        <f t="shared" si="4"/>
        <v>86.211982000000006</v>
      </c>
      <c r="T4" s="9"/>
      <c r="U4" s="10">
        <f t="shared" si="5"/>
        <v>0.50065611679578159</v>
      </c>
      <c r="V4" s="9">
        <f t="shared" si="6"/>
        <v>0.50065611679578159</v>
      </c>
    </row>
    <row r="5" spans="1:22" ht="30" x14ac:dyDescent="0.25">
      <c r="A5" s="5">
        <v>3</v>
      </c>
      <c r="B5" s="6" t="s">
        <v>15</v>
      </c>
      <c r="C5" s="7" t="s">
        <v>16</v>
      </c>
      <c r="D5" s="8" t="s">
        <v>10</v>
      </c>
      <c r="E5" s="9">
        <v>0</v>
      </c>
      <c r="F5" s="9">
        <v>1489.32</v>
      </c>
      <c r="G5" s="9">
        <f t="shared" si="0"/>
        <v>1489.32</v>
      </c>
      <c r="H5" s="9">
        <v>0</v>
      </c>
      <c r="I5" s="9">
        <v>523.02</v>
      </c>
      <c r="J5" s="9">
        <f t="shared" si="1"/>
        <v>523.02</v>
      </c>
      <c r="K5" s="9">
        <v>0</v>
      </c>
      <c r="L5" s="9">
        <v>523.02</v>
      </c>
      <c r="M5" s="9">
        <f t="shared" si="2"/>
        <v>523.02</v>
      </c>
      <c r="N5" s="9">
        <v>0</v>
      </c>
      <c r="O5" s="11">
        <v>130.755</v>
      </c>
      <c r="P5" s="9">
        <f t="shared" si="3"/>
        <v>130.755</v>
      </c>
      <c r="Q5" s="9">
        <v>0</v>
      </c>
      <c r="R5" s="9">
        <v>70.537093999999996</v>
      </c>
      <c r="S5" s="9">
        <f t="shared" si="4"/>
        <v>70.537093999999996</v>
      </c>
      <c r="T5" s="9"/>
      <c r="U5" s="10">
        <f t="shared" si="5"/>
        <v>0.53946001300141488</v>
      </c>
      <c r="V5" s="9">
        <f t="shared" si="6"/>
        <v>0.53946001300141488</v>
      </c>
    </row>
    <row r="6" spans="1:22" ht="30" x14ac:dyDescent="0.25">
      <c r="A6" s="5">
        <v>4</v>
      </c>
      <c r="B6" s="6" t="s">
        <v>17</v>
      </c>
      <c r="C6" s="7" t="s">
        <v>18</v>
      </c>
      <c r="D6" s="8" t="s">
        <v>10</v>
      </c>
      <c r="E6" s="9">
        <v>0</v>
      </c>
      <c r="F6" s="9">
        <v>665.76</v>
      </c>
      <c r="G6" s="9">
        <f t="shared" si="0"/>
        <v>665.76</v>
      </c>
      <c r="H6" s="9">
        <v>0</v>
      </c>
      <c r="I6" s="9">
        <v>318.90100000000001</v>
      </c>
      <c r="J6" s="9">
        <f t="shared" si="1"/>
        <v>318.90100000000001</v>
      </c>
      <c r="K6" s="9">
        <v>0</v>
      </c>
      <c r="L6" s="9">
        <v>318.90100000000001</v>
      </c>
      <c r="M6" s="9">
        <f t="shared" si="2"/>
        <v>318.90100000000001</v>
      </c>
      <c r="N6" s="9">
        <v>0</v>
      </c>
      <c r="O6" s="11">
        <v>79.724999999999994</v>
      </c>
      <c r="P6" s="9">
        <f t="shared" si="3"/>
        <v>79.724999999999994</v>
      </c>
      <c r="Q6" s="9">
        <v>0</v>
      </c>
      <c r="R6" s="9">
        <v>30.722877</v>
      </c>
      <c r="S6" s="9">
        <f t="shared" si="4"/>
        <v>30.722877</v>
      </c>
      <c r="T6" s="9"/>
      <c r="U6" s="10">
        <f t="shared" si="5"/>
        <v>0.38536063969896522</v>
      </c>
      <c r="V6" s="9">
        <f t="shared" si="6"/>
        <v>0.38536063969896522</v>
      </c>
    </row>
    <row r="7" spans="1:22" ht="30" x14ac:dyDescent="0.25">
      <c r="A7" s="5">
        <v>5</v>
      </c>
      <c r="B7" s="6" t="s">
        <v>19</v>
      </c>
      <c r="C7" s="7" t="s">
        <v>20</v>
      </c>
      <c r="D7" s="8" t="s">
        <v>10</v>
      </c>
      <c r="E7" s="9">
        <v>0</v>
      </c>
      <c r="F7" s="9">
        <v>1430.31</v>
      </c>
      <c r="G7" s="9">
        <f t="shared" si="0"/>
        <v>1430.31</v>
      </c>
      <c r="H7" s="9">
        <v>0</v>
      </c>
      <c r="I7" s="9">
        <v>490.40499999999997</v>
      </c>
      <c r="J7" s="9">
        <f t="shared" si="1"/>
        <v>490.40499999999997</v>
      </c>
      <c r="K7" s="9">
        <v>0</v>
      </c>
      <c r="L7" s="9">
        <v>490.40499999999997</v>
      </c>
      <c r="M7" s="9">
        <f t="shared" si="2"/>
        <v>490.40499999999997</v>
      </c>
      <c r="N7" s="9">
        <v>0</v>
      </c>
      <c r="O7" s="11">
        <v>122.601</v>
      </c>
      <c r="P7" s="9">
        <f t="shared" si="3"/>
        <v>122.601</v>
      </c>
      <c r="Q7" s="9">
        <v>0</v>
      </c>
      <c r="R7" s="9">
        <v>70.537093999999996</v>
      </c>
      <c r="S7" s="9">
        <f t="shared" si="4"/>
        <v>70.537093999999996</v>
      </c>
      <c r="T7" s="9"/>
      <c r="U7" s="10">
        <f t="shared" si="5"/>
        <v>0.57533865139762319</v>
      </c>
      <c r="V7" s="9">
        <f t="shared" si="6"/>
        <v>0.57533865139762319</v>
      </c>
    </row>
    <row r="8" spans="1:22" ht="30" x14ac:dyDescent="0.25">
      <c r="A8" s="5">
        <v>6</v>
      </c>
      <c r="B8" s="6" t="s">
        <v>21</v>
      </c>
      <c r="C8" s="7" t="s">
        <v>22</v>
      </c>
      <c r="D8" s="8" t="s">
        <v>10</v>
      </c>
      <c r="E8" s="9">
        <v>0</v>
      </c>
      <c r="F8" s="9">
        <v>1682.69</v>
      </c>
      <c r="G8" s="9">
        <f t="shared" si="0"/>
        <v>1682.69</v>
      </c>
      <c r="H8" s="9">
        <v>0</v>
      </c>
      <c r="I8" s="9">
        <v>629.88499999999999</v>
      </c>
      <c r="J8" s="9">
        <f t="shared" si="1"/>
        <v>629.88499999999999</v>
      </c>
      <c r="K8" s="9">
        <v>0</v>
      </c>
      <c r="L8" s="9">
        <v>629.88499999999999</v>
      </c>
      <c r="M8" s="9">
        <f t="shared" si="2"/>
        <v>629.88499999999999</v>
      </c>
      <c r="N8" s="9">
        <v>0</v>
      </c>
      <c r="O8" s="11">
        <v>157.471</v>
      </c>
      <c r="P8" s="9">
        <f t="shared" si="3"/>
        <v>157.471</v>
      </c>
      <c r="Q8" s="9">
        <v>0</v>
      </c>
      <c r="R8" s="9">
        <v>86.211982000000006</v>
      </c>
      <c r="S8" s="9">
        <f t="shared" si="4"/>
        <v>86.211982000000006</v>
      </c>
      <c r="T8" s="9"/>
      <c r="U8" s="10">
        <f t="shared" si="5"/>
        <v>0.54747846905144437</v>
      </c>
      <c r="V8" s="9">
        <f t="shared" si="6"/>
        <v>0.54747846905144437</v>
      </c>
    </row>
    <row r="9" spans="1:22" ht="30" x14ac:dyDescent="0.25">
      <c r="A9" s="5">
        <v>7</v>
      </c>
      <c r="B9" s="6" t="s">
        <v>23</v>
      </c>
      <c r="C9" s="7" t="s">
        <v>24</v>
      </c>
      <c r="D9" s="8" t="s">
        <v>10</v>
      </c>
      <c r="E9" s="9">
        <v>0</v>
      </c>
      <c r="F9" s="9">
        <v>2225.14</v>
      </c>
      <c r="G9" s="9">
        <f t="shared" si="0"/>
        <v>2225.14</v>
      </c>
      <c r="H9" s="9">
        <v>0</v>
      </c>
      <c r="I9" s="9">
        <v>729.63499999999999</v>
      </c>
      <c r="J9" s="9">
        <f t="shared" si="1"/>
        <v>729.63499999999999</v>
      </c>
      <c r="K9" s="9">
        <v>0</v>
      </c>
      <c r="L9" s="9">
        <v>729.63499999999999</v>
      </c>
      <c r="M9" s="9">
        <f t="shared" si="2"/>
        <v>729.63499999999999</v>
      </c>
      <c r="N9" s="9">
        <v>0</v>
      </c>
      <c r="O9" s="11">
        <v>182.40899999999999</v>
      </c>
      <c r="P9" s="9">
        <f t="shared" si="3"/>
        <v>182.40899999999999</v>
      </c>
      <c r="Q9" s="9">
        <v>0</v>
      </c>
      <c r="R9" s="9">
        <v>109.724312</v>
      </c>
      <c r="S9" s="9">
        <f t="shared" si="4"/>
        <v>109.724312</v>
      </c>
      <c r="T9" s="9"/>
      <c r="U9" s="10">
        <f t="shared" si="5"/>
        <v>0.60152904736060175</v>
      </c>
      <c r="V9" s="9">
        <f t="shared" si="6"/>
        <v>0.60152904736060175</v>
      </c>
    </row>
    <row r="10" spans="1:22" ht="30" x14ac:dyDescent="0.25">
      <c r="A10" s="5">
        <v>8</v>
      </c>
      <c r="B10" s="6" t="s">
        <v>25</v>
      </c>
      <c r="C10" s="7" t="s">
        <v>26</v>
      </c>
      <c r="D10" s="8" t="s">
        <v>10</v>
      </c>
      <c r="E10" s="9">
        <v>0</v>
      </c>
      <c r="F10" s="9">
        <v>1183.28</v>
      </c>
      <c r="G10" s="9">
        <f t="shared" si="0"/>
        <v>1183.28</v>
      </c>
      <c r="H10" s="9">
        <v>0</v>
      </c>
      <c r="I10" s="9">
        <v>385.89499999999998</v>
      </c>
      <c r="J10" s="9">
        <f t="shared" si="1"/>
        <v>385.89499999999998</v>
      </c>
      <c r="K10" s="9">
        <v>0</v>
      </c>
      <c r="L10" s="9">
        <v>385.89499999999998</v>
      </c>
      <c r="M10" s="9">
        <f t="shared" si="2"/>
        <v>385.89499999999998</v>
      </c>
      <c r="N10" s="9">
        <v>0</v>
      </c>
      <c r="O10" s="11">
        <v>96.474000000000004</v>
      </c>
      <c r="P10" s="9">
        <f t="shared" si="3"/>
        <v>96.474000000000004</v>
      </c>
      <c r="Q10" s="9">
        <v>0</v>
      </c>
      <c r="R10" s="9">
        <v>53.764961</v>
      </c>
      <c r="S10" s="9">
        <f t="shared" si="4"/>
        <v>53.764961</v>
      </c>
      <c r="T10" s="9"/>
      <c r="U10" s="10">
        <f t="shared" si="5"/>
        <v>0.55730000829238968</v>
      </c>
      <c r="V10" s="9">
        <f t="shared" si="6"/>
        <v>0.55730000829238968</v>
      </c>
    </row>
    <row r="11" spans="1:22" ht="30" x14ac:dyDescent="0.25">
      <c r="A11" s="5">
        <v>9</v>
      </c>
      <c r="B11" s="6" t="s">
        <v>27</v>
      </c>
      <c r="C11" s="7" t="s">
        <v>28</v>
      </c>
      <c r="D11" s="8" t="s">
        <v>10</v>
      </c>
      <c r="E11" s="9">
        <v>0</v>
      </c>
      <c r="F11" s="9">
        <v>1348.62</v>
      </c>
      <c r="G11" s="9">
        <f t="shared" si="0"/>
        <v>1348.62</v>
      </c>
      <c r="H11" s="9">
        <v>0</v>
      </c>
      <c r="I11" s="9">
        <v>495.25</v>
      </c>
      <c r="J11" s="9">
        <f t="shared" si="1"/>
        <v>495.25</v>
      </c>
      <c r="K11" s="9">
        <v>0</v>
      </c>
      <c r="L11" s="9">
        <v>495.25</v>
      </c>
      <c r="M11" s="9">
        <f t="shared" si="2"/>
        <v>495.25</v>
      </c>
      <c r="N11" s="9">
        <v>0</v>
      </c>
      <c r="O11" s="11">
        <v>123.813</v>
      </c>
      <c r="P11" s="9">
        <f t="shared" si="3"/>
        <v>123.813</v>
      </c>
      <c r="Q11" s="9">
        <v>0</v>
      </c>
      <c r="R11" s="9">
        <v>62.699649999999998</v>
      </c>
      <c r="S11" s="9">
        <f t="shared" si="4"/>
        <v>62.699649999999998</v>
      </c>
      <c r="T11" s="9"/>
      <c r="U11" s="10">
        <f t="shared" si="5"/>
        <v>0.50640603167680287</v>
      </c>
      <c r="V11" s="9">
        <f t="shared" si="6"/>
        <v>0.50640603167680287</v>
      </c>
    </row>
    <row r="12" spans="1:22" ht="30" x14ac:dyDescent="0.25">
      <c r="A12" s="5">
        <v>10</v>
      </c>
      <c r="B12" s="6" t="s">
        <v>29</v>
      </c>
      <c r="C12" s="7" t="s">
        <v>30</v>
      </c>
      <c r="D12" s="8" t="s">
        <v>10</v>
      </c>
      <c r="E12" s="9">
        <v>0</v>
      </c>
      <c r="F12" s="9">
        <v>2219.0300000000002</v>
      </c>
      <c r="G12" s="9">
        <f t="shared" si="0"/>
        <v>2219.0300000000002</v>
      </c>
      <c r="H12" s="9">
        <v>0</v>
      </c>
      <c r="I12" s="9">
        <v>991.81899999999996</v>
      </c>
      <c r="J12" s="9">
        <f t="shared" si="1"/>
        <v>991.81899999999996</v>
      </c>
      <c r="K12" s="9">
        <v>0</v>
      </c>
      <c r="L12" s="9">
        <v>991.81899999999996</v>
      </c>
      <c r="M12" s="9">
        <f t="shared" si="2"/>
        <v>991.81899999999996</v>
      </c>
      <c r="N12" s="9">
        <v>0</v>
      </c>
      <c r="O12" s="11">
        <v>247.95500000000001</v>
      </c>
      <c r="P12" s="9">
        <f t="shared" si="3"/>
        <v>247.95500000000001</v>
      </c>
      <c r="Q12" s="9">
        <v>0</v>
      </c>
      <c r="R12" s="9">
        <v>109.724312</v>
      </c>
      <c r="S12" s="9">
        <f t="shared" si="4"/>
        <v>109.724312</v>
      </c>
      <c r="T12" s="9"/>
      <c r="U12" s="10">
        <f t="shared" si="5"/>
        <v>0.44251703736565101</v>
      </c>
      <c r="V12" s="9">
        <f t="shared" si="6"/>
        <v>0.44251703736565101</v>
      </c>
    </row>
    <row r="13" spans="1:22" ht="23.25" customHeight="1" x14ac:dyDescent="0.25">
      <c r="A13" s="5"/>
      <c r="B13" s="12"/>
      <c r="C13" s="13" t="s">
        <v>9</v>
      </c>
      <c r="D13" s="4"/>
      <c r="E13" s="14">
        <f t="shared" ref="E13:S13" si="7">SUM(E3:E12)</f>
        <v>0</v>
      </c>
      <c r="F13" s="14">
        <f t="shared" si="7"/>
        <v>15921.960000000001</v>
      </c>
      <c r="G13" s="14">
        <f t="shared" si="7"/>
        <v>15921.960000000001</v>
      </c>
      <c r="H13" s="14">
        <f t="shared" si="7"/>
        <v>0</v>
      </c>
      <c r="I13" s="14">
        <f t="shared" si="7"/>
        <v>5897.2150000000001</v>
      </c>
      <c r="J13" s="14">
        <f t="shared" si="7"/>
        <v>5897.2150000000001</v>
      </c>
      <c r="K13" s="14">
        <f t="shared" si="7"/>
        <v>0</v>
      </c>
      <c r="L13" s="14">
        <f t="shared" si="7"/>
        <v>5897.2150000000001</v>
      </c>
      <c r="M13" s="14">
        <f t="shared" si="7"/>
        <v>5897.2150000000001</v>
      </c>
      <c r="N13" s="14">
        <f t="shared" si="7"/>
        <v>0</v>
      </c>
      <c r="O13" s="14">
        <f t="shared" si="7"/>
        <v>1474.3050000000001</v>
      </c>
      <c r="P13" s="14">
        <f t="shared" si="7"/>
        <v>1474.3050000000001</v>
      </c>
      <c r="Q13" s="14">
        <f t="shared" si="7"/>
        <v>0</v>
      </c>
      <c r="R13" s="14">
        <f t="shared" si="7"/>
        <v>766.34624600000006</v>
      </c>
      <c r="S13" s="14">
        <f t="shared" si="7"/>
        <v>766.34624600000006</v>
      </c>
      <c r="T13" s="14"/>
      <c r="U13" s="14"/>
      <c r="V13" s="14"/>
    </row>
  </sheetData>
  <mergeCells count="6">
    <mergeCell ref="Q1:S1"/>
    <mergeCell ref="T1:V1"/>
    <mergeCell ref="E1:G1"/>
    <mergeCell ref="H1:J1"/>
    <mergeCell ref="K1:M1"/>
    <mergeCell ref="N1:P1"/>
  </mergeCells>
  <pageMargins left="0.25" right="0.25" top="0.75" bottom="0.75" header="0.3" footer="0.3"/>
  <pageSetup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Scheme Wise Sheet</vt:lpstr>
      <vt:lpstr>'Scheme Wise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Jahanzaib Akhtar | Project Coordinator | PSCA</dc:creator>
  <cp:lastModifiedBy>Jahanzaib Akhtar | Project Coordinator | PSCA</cp:lastModifiedBy>
  <dcterms:created xsi:type="dcterms:W3CDTF">2026-03-06T09:45:34Z</dcterms:created>
  <dcterms:modified xsi:type="dcterms:W3CDTF">2026-03-06T09:54:17Z</dcterms:modified>
</cp:coreProperties>
</file>